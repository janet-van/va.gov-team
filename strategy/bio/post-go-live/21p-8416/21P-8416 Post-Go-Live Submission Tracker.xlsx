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BAHOUASHIOM\Downloads\"/>
    </mc:Choice>
  </mc:AlternateContent>
  <xr:revisionPtr revIDLastSave="0" documentId="13_ncr:1_{0A08BC3D-5C5F-45BC-A44A-E2CD67699295}" xr6:coauthVersionLast="47" xr6:coauthVersionMax="47" xr10:uidLastSave="{00000000-0000-0000-0000-000000000000}"/>
  <bookViews>
    <workbookView xWindow="-2663" yWindow="-10882" windowWidth="19365" windowHeight="10244" xr2:uid="{AF2C844A-C5C8-460C-A4FB-B4FB01059A32}"/>
  </bookViews>
  <sheets>
    <sheet name="21P-84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<sst xmlns="http://schemas.openxmlformats.org/spreadsheetml/2006/main" count="39" uniqueCount="26">
  <si>
    <t>UUID</t>
  </si>
  <si>
    <t>Lighthouse status</t>
  </si>
  <si>
    <t>Lighthouse updated at</t>
  </si>
  <si>
    <t>CMP status</t>
  </si>
  <si>
    <t>CMP updated at</t>
  </si>
  <si>
    <t>Packet ID</t>
  </si>
  <si>
    <t>success</t>
  </si>
  <si>
    <t>Expected annual submissions</t>
  </si>
  <si>
    <t>Total submissions</t>
  </si>
  <si>
    <t>Number of Incomplete/Errors</t>
  </si>
  <si>
    <t>Canary</t>
  </si>
  <si>
    <t>241f355b-99a0-4e78-a123-104f9dd0643b</t>
  </si>
  <si>
    <t>5ab71600-fb36-4795-a491-a115d65d1705</t>
  </si>
  <si>
    <t>7ee3777b-30e2-45e2-9749-d4458668b762</t>
  </si>
  <si>
    <t>09bf80ea-be52-45b0-9c83-936e1e1100ee</t>
  </si>
  <si>
    <t>e2794ce2-6597-4be3-87c9-3bb1ad41c146</t>
  </si>
  <si>
    <t>2b8d357f-4f51-4814-8183-e712c8741c01</t>
  </si>
  <si>
    <t>d510ef07-c363-4464-bd3b-317d0a4e1c94</t>
  </si>
  <si>
    <t>e55ba157-5bb0-460c-997e-b37938b05759</t>
  </si>
  <si>
    <t>4ba03dd4-5a6f-4c7e-881d-e72479931e8e</t>
  </si>
  <si>
    <t>21P-8416 Post-Go-Live Submission Tracker</t>
  </si>
  <si>
    <t>f56e9f01-5f40-45ab-8f3e-d9fb0afa68d4</t>
  </si>
  <si>
    <t>517026de-80c7-461f-bfb0-52886e859519</t>
  </si>
  <si>
    <t>469f79a8-955c-446f-9180-e5f25dd9012c</t>
  </si>
  <si>
    <t>480198a0-5ff8-4a64-ac79-ea9dddca26b5</t>
  </si>
  <si>
    <t>ee7cf9e6-13e4-41c7-b385-fb544b4903a2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</si>
</sst>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2" fillId="0" borderId="0" xfId="2"/>
    <xf numFmtId="0" fontId="5" fillId="0" borderId="3" xfId="5"/>
    <xf numFmtId="10" fontId="0" fillId="0" borderId="0" xfId="1" applyNumberFormat="1" applyFont="1"/>
    <xf numFmtId="0" fontId="0" fillId="0" borderId="0" xfId="0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DA50-AF9A-4F34-A5D2-8EFB6209C293}">
  <dimension ref="A1:F21"/>
  <sheetViews>
    <sheetView tabSelected="1" topLeftCell="A9" workbookViewId="0">
      <selection activeCell="D23" sqref="D23"/>
    </sheetView>
  </sheetViews>
  <sheetFormatPr defaultRowHeight="14.5" x14ac:dyDescent="0.35"/>
  <cols>
    <col min="1" max="1" width="40.1796875" customWidth="1"/>
    <col min="2" max="2" width="17.26953125" bestFit="1" customWidth="1"/>
    <col min="3" max="3" width="21.453125" bestFit="1" customWidth="1"/>
    <col min="4" max="4" width="11.1796875" bestFit="1" customWidth="1"/>
    <col min="5" max="5" width="15.26953125" bestFit="1" customWidth="1"/>
    <col min="6" max="6" width="9.453125" bestFit="1" customWidth="1"/>
  </cols>
  <sheetData>
    <row r="1" spans="1:6" ht="23.5" x14ac:dyDescent="0.55000000000000004">
      <c r="A1" s="2" t="s">
        <v>20</v>
      </c>
    </row>
    <row r="3" spans="1:6" x14ac:dyDescent="0.35">
      <c r="A3" t="s">
        <v>7</v>
      </c>
      <c r="B3">
        <v>84</v>
      </c>
      <c r="C3" s="5" t="s">
        <v>10</v>
      </c>
    </row>
    <row r="4" spans="1:6" x14ac:dyDescent="0.35">
      <c r="A4" t="s">
        <v>8</v>
      </c>
      <c r="B4">
        <v>14</v>
      </c>
      <c r="C4" s="4">
        <f>B4/B3</f>
        <v>0.16666666666666666</v>
      </c>
    </row>
    <row r="5" spans="1:6" x14ac:dyDescent="0.35">
      <c r="A5" t="s">
        <v>9</v>
      </c>
      <c r="B5">
        <v>1</v>
      </c>
    </row>
    <row r="7" spans="1:6" ht="15" thickBot="1" x14ac:dyDescent="0.4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t="s">
        <v>11</v>
      </c>
      <c r="B8" t="s">
        <v>6</v>
      </c>
      <c r="C8" s="1">
        <v>46033</v>
      </c>
      <c r="E8" s="1"/>
    </row>
    <row r="9" spans="1:6" x14ac:dyDescent="0.35">
      <c r="A9" t="s">
        <v>12</v>
      </c>
      <c r="B9" t="s">
        <v>6</v>
      </c>
      <c r="C9" s="1">
        <v>46034</v>
      </c>
      <c r="E9" s="1"/>
    </row>
    <row r="10" spans="1:6" x14ac:dyDescent="0.35">
      <c r="A10" t="s">
        <v>13</v>
      </c>
      <c r="B10" t="s">
        <v>6</v>
      </c>
      <c r="C10" s="1">
        <v>46034</v>
      </c>
      <c r="E10" s="1"/>
    </row>
    <row r="11" spans="1:6" x14ac:dyDescent="0.35">
      <c r="A11" t="s">
        <v>14</v>
      </c>
      <c r="B11" t="s">
        <v>6</v>
      </c>
      <c r="C11" s="1">
        <v>46034</v>
      </c>
      <c r="E11" s="1"/>
    </row>
    <row r="12" spans="1:6" x14ac:dyDescent="0.35">
      <c r="A12" t="s">
        <v>15</v>
      </c>
      <c r="B12" t="s">
        <v>6</v>
      </c>
      <c r="C12" s="1">
        <v>46042</v>
      </c>
    </row>
    <row r="13" spans="1:6" x14ac:dyDescent="0.35">
      <c r="A13" t="s">
        <v>16</v>
      </c>
      <c r="B13" t="s">
        <v>6</v>
      </c>
      <c r="C13" s="1">
        <v>46046</v>
      </c>
    </row>
    <row r="14" spans="1:6" x14ac:dyDescent="0.35">
      <c r="A14" t="s">
        <v>17</v>
      </c>
      <c r="B14" t="s">
        <v>6</v>
      </c>
      <c r="C14" s="1">
        <v>46049</v>
      </c>
    </row>
    <row r="15" spans="1:6" x14ac:dyDescent="0.35">
      <c r="A15" t="s">
        <v>18</v>
      </c>
      <c r="B15" t="s">
        <v>6</v>
      </c>
      <c r="C15" s="1">
        <v>46055</v>
      </c>
    </row>
    <row r="16" spans="1:6" x14ac:dyDescent="0.35">
      <c r="A16" t="s">
        <v>19</v>
      </c>
      <c r="B16" t="s">
        <v>6</v>
      </c>
      <c r="C16" s="1">
        <v>46056</v>
      </c>
    </row>
    <row r="17" spans="1:3" x14ac:dyDescent="0.35">
      <c r="A17" t="s">
        <v>21</v>
      </c>
      <c r="B17" t="s">
        <v>6</v>
      </c>
      <c r="C17" s="1">
        <v>46065</v>
      </c>
    </row>
    <row r="18" spans="1:3" x14ac:dyDescent="0.35">
      <c r="A18" t="s">
        <v>22</v>
      </c>
      <c r="B18" t="s">
        <v>6</v>
      </c>
      <c r="C18" s="1">
        <v>46068</v>
      </c>
    </row>
    <row r="19" spans="1:3" x14ac:dyDescent="0.35">
      <c r="A19" t="s">
        <v>23</v>
      </c>
      <c r="B19" t="s">
        <v>6</v>
      </c>
      <c r="C19" s="1">
        <v>46069</v>
      </c>
    </row>
    <row r="20" spans="1:3" x14ac:dyDescent="0.35">
      <c r="A20" t="s">
        <v>24</v>
      </c>
      <c r="B20" t="s">
        <v>6</v>
      </c>
      <c r="C20" s="1">
        <v>46070</v>
      </c>
    </row>
    <row r="21" spans="1:3" x14ac:dyDescent="0.35">
      <c r="A21" t="s">
        <v>25</v>
      </c>
      <c r="B21" t="s">
        <v>6</v>
      </c>
      <c r="C21" s="1">
        <v>46070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21P-8416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Ashiofu, Michael N. (Huntridge Labs, Llc)</dc:creator>
  <cp:lastModifiedBy>Ashiofu, Michael N. (Huntridge Labs, Llc)</cp:lastModifiedBy>
  <dcterms:created xsi:type="dcterms:W3CDTF">2026-01-22T17:07:39Z</dcterms:created>
  <dcterms:modified xsi:type="dcterms:W3CDTF">2026-02-18T19:54:03Z</dcterms:modified>
</cp:coreProperties>
</file>